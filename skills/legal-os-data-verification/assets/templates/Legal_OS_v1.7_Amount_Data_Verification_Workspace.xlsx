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3db6eda08579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使用说明" sheetId="1" r:id="R8695768205ee4fcc"/>
    <x:sheet xmlns:r="http://schemas.openxmlformats.org/officeDocument/2006/relationships" name="原始记录_输入" sheetId="2" r:id="R641de839ce52493a"/>
    <x:sheet xmlns:r="http://schemas.openxmlformats.org/officeDocument/2006/relationships" name="金额核验_逐项复算" sheetId="3" r:id="Rc6c60e1e0a644785"/>
    <x:sheet xmlns:r="http://schemas.openxmlformats.org/officeDocument/2006/relationships" name="期限与节点" sheetId="4" r:id="R8e326f4528e34e0f"/>
    <x:sheet xmlns:r="http://schemas.openxmlformats.org/officeDocument/2006/relationships" name="冲突与缺口" sheetId="5" r:id="R0d50b147355d455a"/>
    <x:sheet xmlns:r="http://schemas.openxmlformats.org/officeDocument/2006/relationships" name="质量门" sheetId="6" r:id="R1503b39bfef9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#,##0"/>
  </x:numFmts>
  <x:fonts count="8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666666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  <x:font>
      <x:sz val="10"/>
      <x:color rgb="FF17365D"/>
      <x:name val="Aptos"/>
    </x:font>
    <x:font>
      <x:b/>
      <x:sz val="10"/>
      <x:color rgb="FFFFFFFF"/>
      <x:name val="Aptos"/>
    </x:font>
    <x:font>
      <x:b/>
      <x:sz val="13"/>
      <x:color rgb="FF17365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8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4" fillId="0" borderId="9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39df4425878841d4" /><Relationship Type="http://schemas.openxmlformats.org/officeDocument/2006/relationships/theme" Target="/xl/theme/theme1.xml" Id="R544bc08410fa4679" /><Relationship Type="http://schemas.openxmlformats.org/officeDocument/2006/relationships/sharedStrings" Target="/xl/sharedStrings.xml" Id="Rfc38a7c979654951" /><Relationship Type="http://schemas.openxmlformats.org/officeDocument/2006/relationships/worksheet" Target="/xl/worksheets/sheet1.xml" Id="R8695768205ee4fcc" /><Relationship Type="http://schemas.openxmlformats.org/officeDocument/2006/relationships/worksheet" Target="/xl/worksheets/sheet2.xml" Id="R641de839ce52493a" /><Relationship Type="http://schemas.openxmlformats.org/officeDocument/2006/relationships/worksheet" Target="/xl/worksheets/sheet3.xml" Id="Rc6c60e1e0a644785" /><Relationship Type="http://schemas.openxmlformats.org/officeDocument/2006/relationships/worksheet" Target="/xl/worksheets/sheet4.xml" Id="R8e326f4528e34e0f" /><Relationship Type="http://schemas.openxmlformats.org/officeDocument/2006/relationships/worksheet" Target="/xl/worksheets/sheet5.xml" Id="R0d50b147355d455a" /><Relationship Type="http://schemas.openxmlformats.org/officeDocument/2006/relationships/worksheet" Target="/xl/worksheets/sheet6.xml" Id="R1503b39bfef9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30" customHeight="1">
      <x:c r="A1" s="4" t="str">
        <x:v>Legal OS v1.7｜金额与数据核验工作台</x:v>
      </x:c>
    </x:row>
    <x:row r="2" ht="32" customHeight="1">
      <x:c r="A2" s="8" t="str">
        <x:v>通用、可复制的核验底稿。演示行仅用于展示公式，不代表任何真实案件、合同或法律结论。</x:v>
      </x:c>
    </x:row>
    <x:row r="4" ht="28" customHeight="1">
      <x:c r="A4" s="14" t="str">
        <x:v>使用顺序</x:v>
      </x:c>
      <x:c r="B4" s="14" t="str">
        <x:v>①保留原始记录</x:v>
      </x:c>
      <x:c r="C4" s="14" t="str">
        <x:v>②逐项复算</x:v>
      </x:c>
      <x:c r="D4" s="14" t="str">
        <x:v>③登记期限节点</x:v>
      </x:c>
      <x:c r="E4" s="14" t="str">
        <x:v>④登记冲突/缺口</x:v>
      </x:c>
      <x:c r="F4" s="14" t="str">
        <x:v>⑤通过质量门后人工复核</x:v>
      </x:c>
    </x:row>
    <x:row r="6" ht="28" customHeight="1">
      <x:c r="A6" s="14" t="str">
        <x:v>工作表</x:v>
      </x:c>
      <x:c r="B6" s="14" t="str">
        <x:v>用途</x:v>
      </x:c>
      <x:c r="C6" s="14"/>
      <x:c r="D6" s="14"/>
      <x:c r="E6" s="14"/>
      <x:c r="F6" s="14"/>
    </x:row>
    <x:row r="7" ht="28" customHeight="1">
      <x:c r="A7" s="28" t="str">
        <x:v>原始记录_输入</x:v>
      </x:c>
      <x:c r="B7" s="34" t="str">
        <x:v>只录入来源中可直接确认的字段；不要把推测值写入原始列。</x:v>
      </x:c>
      <x:c r="C7" s="34"/>
      <x:c r="D7" s="34"/>
      <x:c r="E7" s="34"/>
      <x:c r="F7" s="34"/>
    </x:row>
    <x:row r="8" ht="28" customHeight="1">
      <x:c r="A8" s="30" t="str">
        <x:v>金额核验_逐项复算</x:v>
      </x:c>
      <x:c r="B8" s="36" t="str">
        <x:v>按数量、单价、税率、计税口径复算，并与原始金额逐项比较。</x:v>
      </x:c>
      <x:c r="C8" s="36"/>
      <x:c r="D8" s="36"/>
      <x:c r="E8" s="36"/>
      <x:c r="F8" s="36"/>
    </x:row>
    <x:row r="9" ht="28" customHeight="1">
      <x:c r="A9" s="30" t="str">
        <x:v>期限与节点</x:v>
      </x:c>
      <x:c r="B9" s="36" t="str">
        <x:v>只做日历日期层面的节点提示；不替代法律期限、诉讼时效或程序审查。</x:v>
      </x:c>
      <x:c r="C9" s="36"/>
      <x:c r="D9" s="36"/>
      <x:c r="E9" s="36"/>
      <x:c r="F9" s="36"/>
    </x:row>
    <x:row r="10" ht="28" customHeight="1">
      <x:c r="A10" s="30" t="str">
        <x:v>冲突与缺口</x:v>
      </x:c>
      <x:c r="B10" s="36" t="str">
        <x:v>记录来源冲突、缺页、缺凭证、待确认事项及处理状态。</x:v>
      </x:c>
      <x:c r="C10" s="36"/>
      <x:c r="D10" s="36"/>
      <x:c r="E10" s="36"/>
      <x:c r="F10" s="36"/>
    </x:row>
    <x:row r="11" ht="28" customHeight="1">
      <x:c r="A11" s="30" t="str">
        <x:v>质量门</x:v>
      </x:c>
      <x:c r="B11" s="36" t="str">
        <x:v>集中显示来源完整性、公式完整性、差异和未处理事项。</x:v>
      </x:c>
      <x:c r="C11" s="36"/>
      <x:c r="D11" s="36"/>
      <x:c r="E11" s="36"/>
      <x:c r="F11" s="36"/>
    </x:row>
    <x:row r="12" ht="28" customHeight="1">
      <x:c r="A12" s="30" t="str">
        <x:v>安全边界</x:v>
      </x:c>
      <x:c r="B12" s="36" t="str">
        <x:v>删除演示行后再录入案件数据；对外提交、发函、起诉、结算等动作仍须人工授权。</x:v>
      </x:c>
      <x:c r="C12" s="36"/>
      <x:c r="D12" s="36"/>
      <x:c r="E12" s="36"/>
      <x:c r="F12" s="36"/>
    </x:row>
    <x:row r="13" ht="28" customHeight="1">
      <x:c r="A13" s="30" t="str">
        <x:v>记录原则</x:v>
      </x:c>
      <x:c r="B13" s="36" t="str">
        <x:v>原始值、计算值、判断值分列；不能用计算结果覆盖原始数据。</x:v>
      </x:c>
      <x:c r="C13" s="36"/>
      <x:c r="D13" s="36"/>
      <x:c r="E13" s="36"/>
      <x:c r="F13" s="36"/>
    </x:row>
    <x:row r="14" ht="28" customHeight="1">
      <x:c r="A14" s="30" t="str">
        <x:v>交付条件</x:v>
      </x:c>
      <x:c r="B14" s="36" t="str">
        <x:v>任何‘不一致’、‘缺原始金额’、‘待处理’或来源缺失都应先暂停输出。</x:v>
      </x:c>
      <x:c r="C14" s="36"/>
      <x:c r="D14" s="36"/>
      <x:c r="E14" s="36"/>
      <x:c r="F14" s="36"/>
    </x:row>
    <x:row r="16" ht="48" customHeight="1">
      <x:c r="A16" s="44" t="str">
        <x:v>字段颜色约定：浅蓝=表头/结构；浅黄=需要人工复核；浅红=阻断性交付问题；浅绿=通过或已确认。公式列应保持公式，不手工覆盖。</x:v>
      </x:c>
    </x:row>
  </x:sheetData>
  <x:mergeCells>
    <x:mergeCell ref="A1:F1"/>
    <x:mergeCell ref="A2:F2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2" hidden="0" customWidth="1"/>
    <x:col min="13" max="13" width="24" hidden="0" customWidth="1"/>
    <x:col min="14" max="14" width="14" hidden="0" customWidth="1"/>
    <x:col min="15" max="15" width="18" hidden="0" customWidth="1"/>
    <x:col min="16" max="16" width="24" hidden="0" customWidth="1"/>
    <x:col min="17" max="17" width="28" hidden="0" customWidth="1"/>
    <x:col min="18" max="18" width="15" hidden="0" customWidth="1"/>
    <x:col min="19" max="19" width="18" hidden="0" customWidth="1"/>
    <x:col min="20" max="20" width="32" hidden="0" customWidth="1"/>
    <x:col min="21" max="21" width="10" hidden="0" customWidth="1"/>
    <x:col min="22" max="22" width="16" hidden="0" customWidth="1"/>
    <x:col min="23" max="23" width="30" hidden="0" customWidth="1"/>
    <x:col min="24" max="24" width="20" hidden="0" customWidth="1"/>
  </x:cols>
  <x:sheetData>
    <x:row r="1" ht="30" customHeight="1">
      <x:c r="A1" s="4" t="str">
        <x:v>原始记录｜输入区</x:v>
      </x:c>
    </x:row>
    <x:row r="2" ht="32" customHeight="1">
      <x:c r="A2" s="8" t="str">
        <x:v>只抄录可由来源文件、凭证或经确认的记录直接支持的值。三行 DEMO 数据可删除后替换。</x:v>
      </x:c>
    </x:row>
    <x:row r="3" ht="34" customHeight="1">
      <x:c r="A3" s="8" t="str">
        <x:v>金额链一次录入：原值J、已付K直接引用；扩展列N:X描述链条。固定扣减/抵扣复用J，付款复用K；原行K&gt;0须另填W:X付款凭证。</x:v>
      </x:c>
    </x:row>
    <x:row r="4" ht="28" customHeight="1">
      <x:c r="A4" s="14" t="str">
        <x:v>记录ID</x:v>
      </x:c>
      <x:c r="B4" s="14" t="str">
        <x:v>来源定位</x:v>
      </x:c>
      <x:c r="C4" s="14" t="str">
        <x:v>款项/事项</x:v>
      </x:c>
      <x:c r="D4" s="14" t="str">
        <x:v>发生日期</x:v>
      </x:c>
      <x:c r="E4" s="14" t="str">
        <x:v>币种</x:v>
      </x:c>
      <x:c r="F4" s="14" t="str">
        <x:v>数量</x:v>
      </x:c>
      <x:c r="G4" s="14" t="str">
        <x:v>单价（未税）</x:v>
      </x:c>
      <x:c r="H4" s="14" t="str">
        <x:v>税率</x:v>
      </x:c>
      <x:c r="I4" s="14" t="str">
        <x:v>计税口径</x:v>
      </x:c>
      <x:c r="J4" s="14" t="str">
        <x:v>原始金额（文件）</x:v>
      </x:c>
      <x:c r="K4" s="14" t="str">
        <x:v>已支付/已收金额</x:v>
      </x:c>
      <x:c r="L4" s="14" t="str">
        <x:v>证据状态</x:v>
      </x:c>
      <x:c r="M4" s="14" t="str">
        <x:v>备注</x:v>
      </x:c>
      <x:c r="N4" s="14" t="str">
        <x:v>链条ID</x:v>
      </x:c>
      <x:c r="O4" s="14" t="str">
        <x:v>记录类型</x:v>
      </x:c>
      <x:c r="P4" s="14" t="str">
        <x:v>因素ID</x:v>
      </x:c>
      <x:c r="Q4" s="14" t="str">
        <x:v>计算依据（上一步记录ID）</x:v>
      </x:c>
      <x:c r="R4" s="14" t="str">
        <x:v>因素类型</x:v>
      </x:c>
      <x:c r="S4" s="14" t="str">
        <x:v>因素值（百分率小数）</x:v>
      </x:c>
      <x:c r="T4" s="14" t="str">
        <x:v>原金额已含因素ID（分号分隔）</x:v>
      </x:c>
      <x:c r="U4" s="14" t="str">
        <x:v>小数位</x:v>
      </x:c>
      <x:c r="V4" s="14" t="str">
        <x:v>舍入规则</x:v>
      </x:c>
      <x:c r="W4" s="14" t="str">
        <x:v>付款来源定位（原行K&gt;0时）</x:v>
      </x:c>
      <x:c r="X4" s="14" t="str">
        <x:v>付款证据状态（原行K&gt;0时）</x:v>
      </x:c>
    </x:row>
    <x:row r="5">
      <x:c r="A5" s="28" t="str">
        <x:v>DEMO-001</x:v>
      </x:c>
      <x:c r="B5" s="34" t="str">
        <x:v>演示来源-第1页</x:v>
      </x:c>
      <x:c r="C5" s="34" t="str">
        <x:v>设备款</x:v>
      </x:c>
      <x:c r="D5" s="48" t="n">
        <x:v>46204</x:v>
      </x:c>
      <x:c r="E5" s="34" t="str">
        <x:v>CNY</x:v>
      </x:c>
      <x:c r="F5" s="51" t="n">
        <x:v>10</x:v>
      </x:c>
      <x:c r="G5" s="51" t="n">
        <x:v>1000</x:v>
      </x:c>
      <x:c r="H5" s="54" t="n">
        <x:v>0.13</x:v>
      </x:c>
      <x:c r="I5" s="34" t="str">
        <x:v>不含税</x:v>
      </x:c>
      <x:c r="J5" s="51" t="n">
        <x:v>11300</x:v>
      </x:c>
      <x:c r="K5" s="51" t="n">
        <x:v>5000</x:v>
      </x:c>
      <x:c r="L5" s="34" t="str">
        <x:v>已核</x:v>
      </x:c>
      <x:c r="M5" s="29" t="str">
        <x:v>演示数据：可删除</x:v>
      </x:c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</x:row>
    <x:row r="6">
      <x:c r="A6" s="30" t="str">
        <x:v>DEMO-002</x:v>
      </x:c>
      <x:c r="B6" s="36" t="str">
        <x:v>演示来源-第2页</x:v>
      </x:c>
      <x:c r="C6" s="36" t="str">
        <x:v>服务费</x:v>
      </x:c>
      <x:c r="D6" s="49" t="n">
        <x:v>46208</x:v>
      </x:c>
      <x:c r="E6" s="36" t="str">
        <x:v>CNY</x:v>
      </x:c>
      <x:c r="F6" s="52" t="n">
        <x:v>1</x:v>
      </x:c>
      <x:c r="G6" s="52" t="n">
        <x:v>5000</x:v>
      </x:c>
      <x:c r="H6" s="55" t="n">
        <x:v>0.06</x:v>
      </x:c>
      <x:c r="I6" s="36" t="str">
        <x:v>含税</x:v>
      </x:c>
      <x:c r="J6" s="52" t="n">
        <x:v>5000</x:v>
      </x:c>
      <x:c r="K6" s="52" t="n">
        <x:v>5000</x:v>
      </x:c>
      <x:c r="L6" s="36" t="str">
        <x:v>待核</x:v>
      </x:c>
      <x:c r="M6" s="31" t="str">
        <x:v>演示数据：证据待核</x:v>
      </x:c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</x:row>
    <x:row r="7">
      <x:c r="A7" s="30" t="str">
        <x:v>DEMO-003</x:v>
      </x:c>
      <x:c r="B7" s="36" t="str">
        <x:v>演示来源-第3页</x:v>
      </x:c>
      <x:c r="C7" s="36" t="str">
        <x:v>运费</x:v>
      </x:c>
      <x:c r="D7" s="49" t="n">
        <x:v>46209</x:v>
      </x:c>
      <x:c r="E7" s="36" t="str">
        <x:v>CNY</x:v>
      </x:c>
      <x:c r="F7" s="52" t="n">
        <x:v>2</x:v>
      </x:c>
      <x:c r="G7" s="52" t="n">
        <x:v>300</x:v>
      </x:c>
      <x:c r="H7" s="55" t="n">
        <x:v>0</x:v>
      </x:c>
      <x:c r="I7" s="36" t="str">
        <x:v>不含税</x:v>
      </x:c>
      <x:c r="J7" s="52" t="n">
        <x:v>600</x:v>
      </x:c>
      <x:c r="K7" s="52" t="n">
        <x:v>0</x:v>
      </x:c>
      <x:c r="L7" s="36" t="str">
        <x:v>已核</x:v>
      </x:c>
      <x:c r="M7" s="31" t="str">
        <x:v>演示数据：可删除</x:v>
      </x:c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</x:row>
    <x:row r="8">
      <x:c r="A8" s="30"/>
      <x:c r="B8" s="36"/>
      <x:c r="C8" s="36"/>
      <x:c r="D8" s="49"/>
      <x:c r="E8" s="36"/>
      <x:c r="F8" s="52"/>
      <x:c r="G8" s="52"/>
      <x:c r="H8" s="55"/>
      <x:c r="I8" s="36"/>
      <x:c r="J8" s="52"/>
      <x:c r="K8" s="52"/>
      <x:c r="L8" s="36"/>
      <x:c r="M8" s="31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</x:row>
    <x:row r="9">
      <x:c r="A9" s="30"/>
      <x:c r="B9" s="36"/>
      <x:c r="C9" s="36"/>
      <x:c r="D9" s="49"/>
      <x:c r="E9" s="36"/>
      <x:c r="F9" s="52"/>
      <x:c r="G9" s="52"/>
      <x:c r="H9" s="55"/>
      <x:c r="I9" s="36"/>
      <x:c r="J9" s="52"/>
      <x:c r="K9" s="52"/>
      <x:c r="L9" s="36"/>
      <x:c r="M9" s="31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</x:row>
    <x:row r="10">
      <x:c r="A10" s="30"/>
      <x:c r="B10" s="36"/>
      <x:c r="C10" s="36"/>
      <x:c r="D10" s="49"/>
      <x:c r="E10" s="36"/>
      <x:c r="F10" s="52"/>
      <x:c r="G10" s="52"/>
      <x:c r="H10" s="55"/>
      <x:c r="I10" s="36"/>
      <x:c r="J10" s="52"/>
      <x:c r="K10" s="52"/>
      <x:c r="L10" s="36"/>
      <x:c r="M10" s="31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</x:row>
    <x:row r="11">
      <x:c r="A11" s="30"/>
      <x:c r="B11" s="36"/>
      <x:c r="C11" s="36"/>
      <x:c r="D11" s="49"/>
      <x:c r="E11" s="36"/>
      <x:c r="F11" s="52"/>
      <x:c r="G11" s="52"/>
      <x:c r="H11" s="55"/>
      <x:c r="I11" s="36"/>
      <x:c r="J11" s="52"/>
      <x:c r="K11" s="52"/>
      <x:c r="L11" s="36"/>
      <x:c r="M11" s="31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</x:row>
    <x:row r="12">
      <x:c r="A12" s="30"/>
      <x:c r="B12" s="36"/>
      <x:c r="C12" s="36"/>
      <x:c r="D12" s="49"/>
      <x:c r="E12" s="36"/>
      <x:c r="F12" s="52"/>
      <x:c r="G12" s="52"/>
      <x:c r="H12" s="55"/>
      <x:c r="I12" s="36"/>
      <x:c r="J12" s="52"/>
      <x:c r="K12" s="52"/>
      <x:c r="L12" s="36"/>
      <x:c r="M12" s="31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</x:row>
    <x:row r="13">
      <x:c r="A13" s="30"/>
      <x:c r="B13" s="36"/>
      <x:c r="C13" s="36"/>
      <x:c r="D13" s="49"/>
      <x:c r="E13" s="36"/>
      <x:c r="F13" s="52"/>
      <x:c r="G13" s="52"/>
      <x:c r="H13" s="55"/>
      <x:c r="I13" s="36"/>
      <x:c r="J13" s="52"/>
      <x:c r="K13" s="52"/>
      <x:c r="L13" s="36"/>
      <x:c r="M13" s="31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</x:row>
    <x:row r="14">
      <x:c r="A14" s="30"/>
      <x:c r="B14" s="36"/>
      <x:c r="C14" s="36"/>
      <x:c r="D14" s="49"/>
      <x:c r="E14" s="36"/>
      <x:c r="F14" s="52"/>
      <x:c r="G14" s="52"/>
      <x:c r="H14" s="55"/>
      <x:c r="I14" s="36"/>
      <x:c r="J14" s="52"/>
      <x:c r="K14" s="52"/>
      <x:c r="L14" s="36"/>
      <x:c r="M14" s="31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</x:row>
    <x:row r="15">
      <x:c r="A15" s="32"/>
      <x:c r="B15" s="47"/>
      <x:c r="C15" s="47"/>
      <x:c r="D15" s="50"/>
      <x:c r="E15" s="47"/>
      <x:c r="F15" s="53"/>
      <x:c r="G15" s="53"/>
      <x:c r="H15" s="56"/>
      <x:c r="I15" s="47"/>
      <x:c r="J15" s="53"/>
      <x:c r="K15" s="53"/>
      <x:c r="L15" s="47"/>
      <x:c r="M15" s="33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</x:row>
  </x:sheetData>
  <x:mergeCells>
    <x:mergeCell ref="A1:X1"/>
    <x:mergeCell ref="A2:X2"/>
  </x:mergeCells>
  <x:conditionalFormatting sqref="L5:L15">
    <x:cfRule type="containsText" dxfId="0" priority="1" operator="containsText" text="冲突"/>
    <x:cfRule type="containsText" dxfId="1" priority="2" operator="containsText" text="待核"/>
  </x:conditionalFormatting>
  <x:dataValidations count="2">
    <x:dataValidation type="list" sqref="I5:I15">
      <x:formula1>"不含税,含税"</x:formula1>
    </x:dataValidation>
    <x:dataValidation type="list" sqref="L5:L15">
      <x:formula1>"已核,待核,冲突"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 ht="30" customHeight="1">
      <x:c r="A1" s="4" t="str">
        <x:v>金额核验｜逐项复算</x:v>
      </x:c>
    </x:row>
    <x:row r="2" ht="32" customHeight="1">
      <x:c r="A2" s="8" t="str">
        <x:v>公式列由原始记录自动读取；差额以‘原始金额 - 复算金额’计算。金额差异不等于法律结论。</x:v>
      </x:c>
    </x:row>
    <x:row r="4" ht="28" customHeight="1">
      <x:c r="A4" s="14" t="str">
        <x:v>记录ID</x:v>
      </x:c>
      <x:c r="B4" s="14" t="str">
        <x:v>款项/事项</x:v>
      </x:c>
      <x:c r="C4" s="14" t="str">
        <x:v>原始金额</x:v>
      </x:c>
      <x:c r="D4" s="14" t="str">
        <x:v>复算基数</x:v>
      </x:c>
      <x:c r="E4" s="14" t="str">
        <x:v>复算税额</x:v>
      </x:c>
      <x:c r="F4" s="14" t="str">
        <x:v>复算含税金额</x:v>
      </x:c>
      <x:c r="G4" s="14" t="str">
        <x:v>差额</x:v>
      </x:c>
      <x:c r="H4" s="14" t="str">
        <x:v>核验状态</x:v>
      </x:c>
      <x:c r="I4" s="14" t="str">
        <x:v>计税口径</x:v>
      </x:c>
      <x:c r="J4" s="14" t="str">
        <x:v>证据状态</x:v>
      </x:c>
      <x:c r="K4" s="14" t="str">
        <x:v>预计未付/未收</x:v>
      </x:c>
    </x:row>
    <x:row r="5">
      <x:c r="A5" s="28" t="str">
        <x:f>IF('原始记录_输入'!A5="","",'原始记录_输入'!A5)</x:f>
        <x:v>DEMO-001</x:v>
      </x:c>
      <x:c r="B5" s="34" t="str">
        <x:f>IF(A5="","",'原始记录_输入'!C5)</x:f>
        <x:v>设备款</x:v>
      </x:c>
      <x:c r="C5" s="51" t="n">
        <x:f>IF(A5="","",'原始记录_输入'!J5)</x:f>
        <x:v>11300</x:v>
      </x:c>
      <x:c r="D5" s="51" t="n">
        <x:f>IF(A5="","",'原始记录_输入'!F5*'原始记录_输入'!G5)</x:f>
        <x:v>10000</x:v>
      </x:c>
      <x:c r="E5" s="51" t="n">
        <x:f>IF(A5="","",IF('原始记录_输入'!I5="含税",D5*'原始记录_输入'!H5/(1+'原始记录_输入'!H5),D5*'原始记录_输入'!H5))</x:f>
        <x:v>1300</x:v>
      </x:c>
      <x:c r="F5" s="51" t="n">
        <x:f>IF(A5="","",IF('原始记录_输入'!I5="含税",D5,D5+E5))</x:f>
        <x:v>11300</x:v>
      </x:c>
      <x:c r="G5" s="51" t="n">
        <x:f>IF(A5="","",C5-F5)</x:f>
        <x:v>0</x:v>
      </x:c>
      <x:c r="H5" s="34" t="str">
        <x:f>IF(A5="","",IF(C5="","缺原始金额",IF(ABS(G5)&lt;0.01,"一致","不一致")))</x:f>
        <x:v>一致</x:v>
      </x:c>
      <x:c r="I5" s="34" t="str">
        <x:f>IF(A5="","",'原始记录_输入'!I5)</x:f>
        <x:v>不含税</x:v>
      </x:c>
      <x:c r="J5" s="34" t="str">
        <x:f>IF(A5="","",'原始记录_输入'!L5)</x:f>
        <x:v>已核</x:v>
      </x:c>
      <x:c r="K5" s="57" t="n">
        <x:f>IF(A5="","",C5-'原始记录_输入'!K5)</x:f>
        <x:v>6300</x:v>
      </x:c>
    </x:row>
    <x:row r="6">
      <x:c r="A6" s="30" t="str">
        <x:f>IF('原始记录_输入'!A6="","",'原始记录_输入'!A6)</x:f>
        <x:v>DEMO-002</x:v>
      </x:c>
      <x:c r="B6" s="36" t="str">
        <x:f>IF(A6="","",'原始记录_输入'!C6)</x:f>
        <x:v>服务费</x:v>
      </x:c>
      <x:c r="C6" s="52" t="n">
        <x:f>IF(A6="","",'原始记录_输入'!J6)</x:f>
        <x:v>5000</x:v>
      </x:c>
      <x:c r="D6" s="52" t="n">
        <x:f>IF(A6="","",'原始记录_输入'!F6*'原始记录_输入'!G6)</x:f>
        <x:v>5000</x:v>
      </x:c>
      <x:c r="E6" s="52" t="n">
        <x:f>IF(A6="","",IF('原始记录_输入'!I6="含税",D6*'原始记录_输入'!H6/(1+'原始记录_输入'!H6),D6*'原始记录_输入'!H6))</x:f>
        <x:v>283.0188679245283</x:v>
      </x:c>
      <x:c r="F6" s="52" t="n">
        <x:f>IF(A6="","",IF('原始记录_输入'!I6="含税",D6,D6+E6))</x:f>
        <x:v>5000</x:v>
      </x:c>
      <x:c r="G6" s="52" t="n">
        <x:f>IF(A6="","",C6-F6)</x:f>
        <x:v>0</x:v>
      </x:c>
      <x:c r="H6" s="36" t="str">
        <x:f>IF(A6="","",IF(C6="","缺原始金额",IF(ABS(G6)&lt;0.01,"一致","不一致")))</x:f>
        <x:v>一致</x:v>
      </x:c>
      <x:c r="I6" s="36" t="str">
        <x:f>IF(A6="","",'原始记录_输入'!I6)</x:f>
        <x:v>含税</x:v>
      </x:c>
      <x:c r="J6" s="36" t="str">
        <x:f>IF(A6="","",'原始记录_输入'!L6)</x:f>
        <x:v>待核</x:v>
      </x:c>
      <x:c r="K6" s="58" t="n">
        <x:f>IF(A6="","",C6-'原始记录_输入'!K6)</x:f>
        <x:v>0</x:v>
      </x:c>
    </x:row>
    <x:row r="7">
      <x:c r="A7" s="30" t="str">
        <x:f>IF('原始记录_输入'!A7="","",'原始记录_输入'!A7)</x:f>
        <x:v>DEMO-003</x:v>
      </x:c>
      <x:c r="B7" s="36" t="str">
        <x:f>IF(A7="","",'原始记录_输入'!C7)</x:f>
        <x:v>运费</x:v>
      </x:c>
      <x:c r="C7" s="52" t="n">
        <x:f>IF(A7="","",'原始记录_输入'!J7)</x:f>
        <x:v>600</x:v>
      </x:c>
      <x:c r="D7" s="52" t="n">
        <x:f>IF(A7="","",'原始记录_输入'!F7*'原始记录_输入'!G7)</x:f>
        <x:v>600</x:v>
      </x:c>
      <x:c r="E7" s="52" t="n">
        <x:f>IF(A7="","",IF('原始记录_输入'!I7="含税",D7*'原始记录_输入'!H7/(1+'原始记录_输入'!H7),D7*'原始记录_输入'!H7))</x:f>
        <x:v>0</x:v>
      </x:c>
      <x:c r="F7" s="52" t="n">
        <x:f>IF(A7="","",IF('原始记录_输入'!I7="含税",D7,D7+E7))</x:f>
        <x:v>600</x:v>
      </x:c>
      <x:c r="G7" s="52" t="n">
        <x:f>IF(A7="","",C7-F7)</x:f>
        <x:v>0</x:v>
      </x:c>
      <x:c r="H7" s="36" t="str">
        <x:f>IF(A7="","",IF(C7="","缺原始金额",IF(ABS(G7)&lt;0.01,"一致","不一致")))</x:f>
        <x:v>一致</x:v>
      </x:c>
      <x:c r="I7" s="36" t="str">
        <x:f>IF(A7="","",'原始记录_输入'!I7)</x:f>
        <x:v>不含税</x:v>
      </x:c>
      <x:c r="J7" s="36" t="str">
        <x:f>IF(A7="","",'原始记录_输入'!L7)</x:f>
        <x:v>已核</x:v>
      </x:c>
      <x:c r="K7" s="58" t="n">
        <x:f>IF(A7="","",C7-'原始记录_输入'!K7)</x:f>
        <x:v>600</x:v>
      </x:c>
    </x:row>
    <x:row r="8">
      <x:c r="A8" s="30" t="str">
        <x:f>IF('原始记录_输入'!A8="","",'原始记录_输入'!A8)</x:f>
      </x:c>
      <x:c r="B8" s="36" t="str">
        <x:f>IF(A8="","",'原始记录_输入'!C8)</x:f>
      </x:c>
      <x:c r="C8" s="52" t="str">
        <x:f>IF(A8="","",'原始记录_输入'!J8)</x:f>
      </x:c>
      <x:c r="D8" s="52" t="str">
        <x:f>IF(A8="","",'原始记录_输入'!F8*'原始记录_输入'!G8)</x:f>
      </x:c>
      <x:c r="E8" s="52" t="str">
        <x:f>IF(A8="","",IF('原始记录_输入'!I8="含税",D8*'原始记录_输入'!H8/(1+'原始记录_输入'!H8),D8*'原始记录_输入'!H8))</x:f>
      </x:c>
      <x:c r="F8" s="52" t="str">
        <x:f>IF(A8="","",IF('原始记录_输入'!I8="含税",D8,D8+E8))</x:f>
      </x:c>
      <x:c r="G8" s="52" t="str">
        <x:f>IF(A8="","",C8-F8)</x:f>
      </x:c>
      <x:c r="H8" s="36" t="str">
        <x:f>IF(A8="","",IF(C8="","缺原始金额",IF(ABS(G8)&lt;0.01,"一致","不一致")))</x:f>
      </x:c>
      <x:c r="I8" s="36" t="str">
        <x:f>IF(A8="","",'原始记录_输入'!I8)</x:f>
      </x:c>
      <x:c r="J8" s="36" t="str">
        <x:f>IF(A8="","",'原始记录_输入'!L8)</x:f>
      </x:c>
      <x:c r="K8" s="58" t="str">
        <x:f>IF(A8="","",C8-'原始记录_输入'!K8)</x:f>
      </x:c>
    </x:row>
    <x:row r="9">
      <x:c r="A9" s="30" t="str">
        <x:f>IF('原始记录_输入'!A9="","",'原始记录_输入'!A9)</x:f>
      </x:c>
      <x:c r="B9" s="36" t="str">
        <x:f>IF(A9="","",'原始记录_输入'!C9)</x:f>
      </x:c>
      <x:c r="C9" s="52" t="str">
        <x:f>IF(A9="","",'原始记录_输入'!J9)</x:f>
      </x:c>
      <x:c r="D9" s="52" t="str">
        <x:f>IF(A9="","",'原始记录_输入'!F9*'原始记录_输入'!G9)</x:f>
      </x:c>
      <x:c r="E9" s="52" t="str">
        <x:f>IF(A9="","",IF('原始记录_输入'!I9="含税",D9*'原始记录_输入'!H9/(1+'原始记录_输入'!H9),D9*'原始记录_输入'!H9))</x:f>
      </x:c>
      <x:c r="F9" s="52" t="str">
        <x:f>IF(A9="","",IF('原始记录_输入'!I9="含税",D9,D9+E9))</x:f>
      </x:c>
      <x:c r="G9" s="52" t="str">
        <x:f>IF(A9="","",C9-F9)</x:f>
      </x:c>
      <x:c r="H9" s="36" t="str">
        <x:f>IF(A9="","",IF(C9="","缺原始金额",IF(ABS(G9)&lt;0.01,"一致","不一致")))</x:f>
      </x:c>
      <x:c r="I9" s="36" t="str">
        <x:f>IF(A9="","",'原始记录_输入'!I9)</x:f>
      </x:c>
      <x:c r="J9" s="36" t="str">
        <x:f>IF(A9="","",'原始记录_输入'!L9)</x:f>
      </x:c>
      <x:c r="K9" s="58" t="str">
        <x:f>IF(A9="","",C9-'原始记录_输入'!K9)</x:f>
      </x:c>
    </x:row>
    <x:row r="10">
      <x:c r="A10" s="30" t="str">
        <x:f>IF('原始记录_输入'!A10="","",'原始记录_输入'!A10)</x:f>
      </x:c>
      <x:c r="B10" s="36" t="str">
        <x:f>IF(A10="","",'原始记录_输入'!C10)</x:f>
      </x:c>
      <x:c r="C10" s="52" t="str">
        <x:f>IF(A10="","",'原始记录_输入'!J10)</x:f>
      </x:c>
      <x:c r="D10" s="52" t="str">
        <x:f>IF(A10="","",'原始记录_输入'!F10*'原始记录_输入'!G10)</x:f>
      </x:c>
      <x:c r="E10" s="52" t="str">
        <x:f>IF(A10="","",IF('原始记录_输入'!I10="含税",D10*'原始记录_输入'!H10/(1+'原始记录_输入'!H10),D10*'原始记录_输入'!H10))</x:f>
      </x:c>
      <x:c r="F10" s="52" t="str">
        <x:f>IF(A10="","",IF('原始记录_输入'!I10="含税",D10,D10+E10))</x:f>
      </x:c>
      <x:c r="G10" s="52" t="str">
        <x:f>IF(A10="","",C10-F10)</x:f>
      </x:c>
      <x:c r="H10" s="36" t="str">
        <x:f>IF(A10="","",IF(C10="","缺原始金额",IF(ABS(G10)&lt;0.01,"一致","不一致")))</x:f>
      </x:c>
      <x:c r="I10" s="36" t="str">
        <x:f>IF(A10="","",'原始记录_输入'!I10)</x:f>
      </x:c>
      <x:c r="J10" s="36" t="str">
        <x:f>IF(A10="","",'原始记录_输入'!L10)</x:f>
      </x:c>
      <x:c r="K10" s="58" t="str">
        <x:f>IF(A10="","",C10-'原始记录_输入'!K10)</x:f>
      </x:c>
    </x:row>
    <x:row r="11">
      <x:c r="A11" s="30" t="str">
        <x:f>IF('原始记录_输入'!A11="","",'原始记录_输入'!A11)</x:f>
      </x:c>
      <x:c r="B11" s="36" t="str">
        <x:f>IF(A11="","",'原始记录_输入'!C11)</x:f>
      </x:c>
      <x:c r="C11" s="52" t="str">
        <x:f>IF(A11="","",'原始记录_输入'!J11)</x:f>
      </x:c>
      <x:c r="D11" s="52" t="str">
        <x:f>IF(A11="","",'原始记录_输入'!F11*'原始记录_输入'!G11)</x:f>
      </x:c>
      <x:c r="E11" s="52" t="str">
        <x:f>IF(A11="","",IF('原始记录_输入'!I11="含税",D11*'原始记录_输入'!H11/(1+'原始记录_输入'!H11),D11*'原始记录_输入'!H11))</x:f>
      </x:c>
      <x:c r="F11" s="52" t="str">
        <x:f>IF(A11="","",IF('原始记录_输入'!I11="含税",D11,D11+E11))</x:f>
      </x:c>
      <x:c r="G11" s="52" t="str">
        <x:f>IF(A11="","",C11-F11)</x:f>
      </x:c>
      <x:c r="H11" s="36" t="str">
        <x:f>IF(A11="","",IF(C11="","缺原始金额",IF(ABS(G11)&lt;0.01,"一致","不一致")))</x:f>
      </x:c>
      <x:c r="I11" s="36" t="str">
        <x:f>IF(A11="","",'原始记录_输入'!I11)</x:f>
      </x:c>
      <x:c r="J11" s="36" t="str">
        <x:f>IF(A11="","",'原始记录_输入'!L11)</x:f>
      </x:c>
      <x:c r="K11" s="58" t="str">
        <x:f>IF(A11="","",C11-'原始记录_输入'!K11)</x:f>
      </x:c>
    </x:row>
    <x:row r="12">
      <x:c r="A12" s="30" t="str">
        <x:f>IF('原始记录_输入'!A12="","",'原始记录_输入'!A12)</x:f>
      </x:c>
      <x:c r="B12" s="36" t="str">
        <x:f>IF(A12="","",'原始记录_输入'!C12)</x:f>
      </x:c>
      <x:c r="C12" s="52" t="str">
        <x:f>IF(A12="","",'原始记录_输入'!J12)</x:f>
      </x:c>
      <x:c r="D12" s="52" t="str">
        <x:f>IF(A12="","",'原始记录_输入'!F12*'原始记录_输入'!G12)</x:f>
      </x:c>
      <x:c r="E12" s="52" t="str">
        <x:f>IF(A12="","",IF('原始记录_输入'!I12="含税",D12*'原始记录_输入'!H12/(1+'原始记录_输入'!H12),D12*'原始记录_输入'!H12))</x:f>
      </x:c>
      <x:c r="F12" s="52" t="str">
        <x:f>IF(A12="","",IF('原始记录_输入'!I12="含税",D12,D12+E12))</x:f>
      </x:c>
      <x:c r="G12" s="52" t="str">
        <x:f>IF(A12="","",C12-F12)</x:f>
      </x:c>
      <x:c r="H12" s="36" t="str">
        <x:f>IF(A12="","",IF(C12="","缺原始金额",IF(ABS(G12)&lt;0.01,"一致","不一致")))</x:f>
      </x:c>
      <x:c r="I12" s="36" t="str">
        <x:f>IF(A12="","",'原始记录_输入'!I12)</x:f>
      </x:c>
      <x:c r="J12" s="36" t="str">
        <x:f>IF(A12="","",'原始记录_输入'!L12)</x:f>
      </x:c>
      <x:c r="K12" s="58" t="str">
        <x:f>IF(A12="","",C12-'原始记录_输入'!K12)</x:f>
      </x:c>
    </x:row>
    <x:row r="13">
      <x:c r="A13" s="30" t="str">
        <x:f>IF('原始记录_输入'!A13="","",'原始记录_输入'!A13)</x:f>
      </x:c>
      <x:c r="B13" s="36" t="str">
        <x:f>IF(A13="","",'原始记录_输入'!C13)</x:f>
      </x:c>
      <x:c r="C13" s="52" t="str">
        <x:f>IF(A13="","",'原始记录_输入'!J13)</x:f>
      </x:c>
      <x:c r="D13" s="52" t="str">
        <x:f>IF(A13="","",'原始记录_输入'!F13*'原始记录_输入'!G13)</x:f>
      </x:c>
      <x:c r="E13" s="52" t="str">
        <x:f>IF(A13="","",IF('原始记录_输入'!I13="含税",D13*'原始记录_输入'!H13/(1+'原始记录_输入'!H13),D13*'原始记录_输入'!H13))</x:f>
      </x:c>
      <x:c r="F13" s="52" t="str">
        <x:f>IF(A13="","",IF('原始记录_输入'!I13="含税",D13,D13+E13))</x:f>
      </x:c>
      <x:c r="G13" s="52" t="str">
        <x:f>IF(A13="","",C13-F13)</x:f>
      </x:c>
      <x:c r="H13" s="36" t="str">
        <x:f>IF(A13="","",IF(C13="","缺原始金额",IF(ABS(G13)&lt;0.01,"一致","不一致")))</x:f>
      </x:c>
      <x:c r="I13" s="36" t="str">
        <x:f>IF(A13="","",'原始记录_输入'!I13)</x:f>
      </x:c>
      <x:c r="J13" s="36" t="str">
        <x:f>IF(A13="","",'原始记录_输入'!L13)</x:f>
      </x:c>
      <x:c r="K13" s="58" t="str">
        <x:f>IF(A13="","",C13-'原始记录_输入'!K13)</x:f>
      </x:c>
    </x:row>
    <x:row r="14">
      <x:c r="A14" s="30" t="str">
        <x:f>IF('原始记录_输入'!A14="","",'原始记录_输入'!A14)</x:f>
      </x:c>
      <x:c r="B14" s="36" t="str">
        <x:f>IF(A14="","",'原始记录_输入'!C14)</x:f>
      </x:c>
      <x:c r="C14" s="52" t="str">
        <x:f>IF(A14="","",'原始记录_输入'!J14)</x:f>
      </x:c>
      <x:c r="D14" s="52" t="str">
        <x:f>IF(A14="","",'原始记录_输入'!F14*'原始记录_输入'!G14)</x:f>
      </x:c>
      <x:c r="E14" s="52" t="str">
        <x:f>IF(A14="","",IF('原始记录_输入'!I14="含税",D14*'原始记录_输入'!H14/(1+'原始记录_输入'!H14),D14*'原始记录_输入'!H14))</x:f>
      </x:c>
      <x:c r="F14" s="52" t="str">
        <x:f>IF(A14="","",IF('原始记录_输入'!I14="含税",D14,D14+E14))</x:f>
      </x:c>
      <x:c r="G14" s="52" t="str">
        <x:f>IF(A14="","",C14-F14)</x:f>
      </x:c>
      <x:c r="H14" s="36" t="str">
        <x:f>IF(A14="","",IF(C14="","缺原始金额",IF(ABS(G14)&lt;0.01,"一致","不一致")))</x:f>
      </x:c>
      <x:c r="I14" s="36" t="str">
        <x:f>IF(A14="","",'原始记录_输入'!I14)</x:f>
      </x:c>
      <x:c r="J14" s="36" t="str">
        <x:f>IF(A14="","",'原始记录_输入'!L14)</x:f>
      </x:c>
      <x:c r="K14" s="58" t="str">
        <x:f>IF(A14="","",C14-'原始记录_输入'!K14)</x:f>
      </x:c>
    </x:row>
    <x:row r="15">
      <x:c r="A15" s="32" t="str">
        <x:f>IF('原始记录_输入'!A15="","",'原始记录_输入'!A15)</x:f>
      </x:c>
      <x:c r="B15" s="47" t="str">
        <x:f>IF(A15="","",'原始记录_输入'!C15)</x:f>
      </x:c>
      <x:c r="C15" s="53" t="str">
        <x:f>IF(A15="","",'原始记录_输入'!J15)</x:f>
      </x:c>
      <x:c r="D15" s="53" t="str">
        <x:f>IF(A15="","",'原始记录_输入'!F15*'原始记录_输入'!G15)</x:f>
      </x:c>
      <x:c r="E15" s="53" t="str">
        <x:f>IF(A15="","",IF('原始记录_输入'!I15="含税",D15*'原始记录_输入'!H15/(1+'原始记录_输入'!H15),D15*'原始记录_输入'!H15))</x:f>
      </x:c>
      <x:c r="F15" s="53" t="str">
        <x:f>IF(A15="","",IF('原始记录_输入'!I15="含税",D15,D15+E15))</x:f>
      </x:c>
      <x:c r="G15" s="53" t="str">
        <x:f>IF(A15="","",C15-F15)</x:f>
      </x:c>
      <x:c r="H15" s="47" t="str">
        <x:f>IF(A15="","",IF(C15="","缺原始金额",IF(ABS(G15)&lt;0.01,"一致","不一致")))</x:f>
      </x:c>
      <x:c r="I15" s="47" t="str">
        <x:f>IF(A15="","",'原始记录_输入'!I15)</x:f>
      </x:c>
      <x:c r="J15" s="47" t="str">
        <x:f>IF(A15="","",'原始记录_输入'!L15)</x:f>
      </x:c>
      <x:c r="K15" s="59" t="str">
        <x:f>IF(A15="","",C15-'原始记录_输入'!K15)</x:f>
      </x:c>
    </x:row>
    <x:row r="17" ht="40" customHeight="1">
      <x:c r="A17" s="43" t="str">
        <x:v>复算规则：不含税口径=数量×未税单价×(1+税率)；含税口径=数量×未税单价；如来源口径不是上述结构，必须在‘冲突与缺口’登记并人工复核。</x:v>
      </x:c>
    </x:row>
  </x:sheetData>
  <x:mergeCells>
    <x:mergeCell ref="A1:K1"/>
    <x:mergeCell ref="A2:K2"/>
    <x:mergeCell ref="A17:K17"/>
  </x:mergeCells>
  <x:conditionalFormatting sqref="H5:H15">
    <x:cfRule type="containsText" dxfId="2" priority="1" operator="containsText" text="一致"/>
    <x:cfRule type="containsText" dxfId="3" priority="2" operator="containsText" text="不一致"/>
    <x:cfRule type="containsText" dxfId="4" priority="3" operator="containsText" text="缺原始金额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4" hidden="0" customWidth="1"/>
    <x:col min="8" max="8" width="24" hidden="0" customWidth="1"/>
  </x:cols>
  <x:sheetData>
    <x:row r="1" ht="30" customHeight="1">
      <x:c r="A1" s="4" t="str">
        <x:v>期限与节点｜日历提示</x:v>
      </x:c>
    </x:row>
    <x:row r="2" ht="32" customHeight="1">
      <x:c r="A2" s="8" t="str">
        <x:v>仅根据录入的触发日/到期日给出日历层面的提示，不计算法律期限、诉讼时效或程序期限。</x:v>
      </x:c>
    </x:row>
    <x:row r="4" ht="28" customHeight="1">
      <x:c r="A4" s="14" t="str">
        <x:v>节点ID</x:v>
      </x:c>
      <x:c r="B4" s="14" t="str">
        <x:v>来源定位</x:v>
      </x:c>
      <x:c r="C4" s="14" t="str">
        <x:v>触发日期</x:v>
      </x:c>
      <x:c r="D4" s="14" t="str">
        <x:v>到期日期</x:v>
      </x:c>
      <x:c r="E4" s="14" t="str">
        <x:v>来源载明天数</x:v>
      </x:c>
      <x:c r="F4" s="14" t="str">
        <x:v>日期依据</x:v>
      </x:c>
      <x:c r="G4" s="14" t="str">
        <x:v>日历状态</x:v>
      </x:c>
      <x:c r="H4" s="14" t="str">
        <x:v>人工复核备注</x:v>
      </x:c>
    </x:row>
    <x:row r="5">
      <x:c r="A5" s="28" t="str">
        <x:v>DEMO-D01</x:v>
      </x:c>
      <x:c r="B5" s="34" t="str">
        <x:v>演示来源-第4页</x:v>
      </x:c>
      <x:c r="C5" s="48" t="n">
        <x:v>46204</x:v>
      </x:c>
      <x:c r="D5" s="48" t="n">
        <x:v>46218</x:v>
      </x:c>
      <x:c r="E5" s="60" t="n">
        <x:v>14</x:v>
      </x:c>
      <x:c r="F5" s="34" t="str">
        <x:v>来源明确载明日期</x:v>
      </x:c>
      <x:c r="G5" s="34" t="str">
        <x:f>IF(A5="","",IF(D5="","待核",IF(D5&lt;TODAY(),"已到期",IF(D5=TODAY(),"今日到期","未到期"))))</x:f>
        <x:v>未到期</x:v>
      </x:c>
      <x:c r="H5" s="29" t="str">
        <x:v>演示数据：可删除</x:v>
      </x:c>
    </x:row>
    <x:row r="6">
      <x:c r="A6" s="30" t="str">
        <x:v>DEMO-D02</x:v>
      </x:c>
      <x:c r="B6" s="36" t="str">
        <x:v>演示来源-第5页</x:v>
      </x:c>
      <x:c r="C6" s="49" t="n">
        <x:v>46208</x:v>
      </x:c>
      <x:c r="D6" s="49"/>
      <x:c r="E6" s="61"/>
      <x:c r="F6" s="36" t="str">
        <x:v>尚未取得到期日</x:v>
      </x:c>
      <x:c r="G6" s="36" t="str">
        <x:f>IF(A6="","",IF(D6="","待核",IF(D6&lt;TODAY(),"已到期",IF(D6=TODAY(),"今日到期","未到期"))))</x:f>
        <x:v>待核</x:v>
      </x:c>
      <x:c r="H6" s="31" t="str">
        <x:v>待补来源</x:v>
      </x:c>
    </x:row>
    <x:row r="7">
      <x:c r="A7" s="30" t="str">
        <x:v>DEMO-D03</x:v>
      </x:c>
      <x:c r="B7" s="36" t="str">
        <x:v>演示来源-第6页</x:v>
      </x:c>
      <x:c r="C7" s="49" t="n">
        <x:v>46209</x:v>
      </x:c>
      <x:c r="D7" s="49" t="n">
        <x:v>46213</x:v>
      </x:c>
      <x:c r="E7" s="61" t="n">
        <x:v>4</x:v>
      </x:c>
      <x:c r="F7" s="36" t="str">
        <x:v>来源明确载明日期</x:v>
      </x:c>
      <x:c r="G7" s="36" t="str">
        <x:f>IF(A7="","",IF(D7="","待核",IF(D7&lt;TODAY(),"已到期",IF(D7=TODAY(),"今日到期","未到期"))))</x:f>
        <x:v>已到期</x:v>
      </x:c>
      <x:c r="H7" s="31" t="str">
        <x:v>演示数据：可删除</x:v>
      </x:c>
    </x:row>
    <x:row r="8">
      <x:c r="A8" s="30"/>
      <x:c r="B8" s="36"/>
      <x:c r="C8" s="49"/>
      <x:c r="D8" s="49"/>
      <x:c r="E8" s="61"/>
      <x:c r="F8" s="36"/>
      <x:c r="G8" s="36" t="str">
        <x:f>IF(A8="","",IF(D8="","待核",IF(D8&lt;TODAY(),"已到期",IF(D8=TODAY(),"今日到期","未到期"))))</x:f>
      </x:c>
      <x:c r="H8" s="31"/>
    </x:row>
    <x:row r="9">
      <x:c r="A9" s="30"/>
      <x:c r="B9" s="36"/>
      <x:c r="C9" s="49"/>
      <x:c r="D9" s="49"/>
      <x:c r="E9" s="61"/>
      <x:c r="F9" s="36"/>
      <x:c r="G9" s="36" t="str">
        <x:f>IF(A9="","",IF(D9="","待核",IF(D9&lt;TODAY(),"已到期",IF(D9=TODAY(),"今日到期","未到期"))))</x:f>
      </x:c>
      <x:c r="H9" s="31"/>
    </x:row>
    <x:row r="10">
      <x:c r="A10" s="30"/>
      <x:c r="B10" s="36"/>
      <x:c r="C10" s="49"/>
      <x:c r="D10" s="49"/>
      <x:c r="E10" s="61"/>
      <x:c r="F10" s="36"/>
      <x:c r="G10" s="36" t="str">
        <x:f>IF(A10="","",IF(D10="","待核",IF(D10&lt;TODAY(),"已到期",IF(D10=TODAY(),"今日到期","未到期"))))</x:f>
      </x:c>
      <x:c r="H10" s="31"/>
    </x:row>
    <x:row r="11">
      <x:c r="A11" s="30"/>
      <x:c r="B11" s="36"/>
      <x:c r="C11" s="49"/>
      <x:c r="D11" s="49"/>
      <x:c r="E11" s="61"/>
      <x:c r="F11" s="36"/>
      <x:c r="G11" s="36" t="str">
        <x:f>IF(A11="","",IF(D11="","待核",IF(D11&lt;TODAY(),"已到期",IF(D11=TODAY(),"今日到期","未到期"))))</x:f>
      </x:c>
      <x:c r="H11" s="31"/>
    </x:row>
    <x:row r="12">
      <x:c r="A12" s="30"/>
      <x:c r="B12" s="36"/>
      <x:c r="C12" s="49"/>
      <x:c r="D12" s="49"/>
      <x:c r="E12" s="61"/>
      <x:c r="F12" s="36"/>
      <x:c r="G12" s="36" t="str">
        <x:f>IF(A12="","",IF(D12="","待核",IF(D12&lt;TODAY(),"已到期",IF(D12=TODAY(),"今日到期","未到期"))))</x:f>
      </x:c>
      <x:c r="H12" s="31"/>
    </x:row>
    <x:row r="13">
      <x:c r="A13" s="30"/>
      <x:c r="B13" s="36"/>
      <x:c r="C13" s="49"/>
      <x:c r="D13" s="49"/>
      <x:c r="E13" s="61"/>
      <x:c r="F13" s="36"/>
      <x:c r="G13" s="36" t="str">
        <x:f>IF(A13="","",IF(D13="","待核",IF(D13&lt;TODAY(),"已到期",IF(D13=TODAY(),"今日到期","未到期"))))</x:f>
      </x:c>
      <x:c r="H13" s="31"/>
    </x:row>
    <x:row r="14">
      <x:c r="A14" s="30"/>
      <x:c r="B14" s="36"/>
      <x:c r="C14" s="49"/>
      <x:c r="D14" s="49"/>
      <x:c r="E14" s="61"/>
      <x:c r="F14" s="36"/>
      <x:c r="G14" s="36" t="str">
        <x:f>IF(A14="","",IF(D14="","待核",IF(D14&lt;TODAY(),"已到期",IF(D14=TODAY(),"今日到期","未到期"))))</x:f>
      </x:c>
      <x:c r="H14" s="31"/>
    </x:row>
    <x:row r="15">
      <x:c r="A15" s="32"/>
      <x:c r="B15" s="47"/>
      <x:c r="C15" s="50"/>
      <x:c r="D15" s="50"/>
      <x:c r="E15" s="62"/>
      <x:c r="F15" s="47"/>
      <x:c r="G15" s="47" t="str">
        <x:f>IF(A15="","",IF(D15="","待核",IF(D15&lt;TODAY(),"已到期",IF(D15=TODAY(),"今日到期","未到期"))))</x:f>
      </x:c>
      <x:c r="H15" s="33"/>
    </x:row>
  </x:sheetData>
  <x:mergeCells>
    <x:mergeCell ref="A1:H1"/>
    <x:mergeCell ref="A2:H2"/>
  </x:mergeCells>
  <x:conditionalFormatting sqref="G5:G15">
    <x:cfRule type="containsText" dxfId="5" priority="1" operator="containsText" text="已到期"/>
    <x:cfRule type="containsText" dxfId="6" priority="2" operator="containsText" text="待核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30" customHeight="1">
      <x:c r="A1" s="4" t="str">
        <x:v>冲突与缺口｜人工处理台账</x:v>
      </x:c>
    </x:row>
    <x:row r="2" ht="32" customHeight="1">
      <x:c r="A2" s="8" t="str">
        <x:v>任何来源冲突、缺页、缺凭证、金额口径不清或期限依据不足，都应先登记再处理。</x:v>
      </x:c>
    </x:row>
    <x:row r="4" ht="28" customHeight="1">
      <x:c r="A4" s="14" t="str">
        <x:v>事项ID</x:v>
      </x:c>
      <x:c r="B4" s="14" t="str">
        <x:v>关联记录</x:v>
      </x:c>
      <x:c r="C4" s="14" t="str">
        <x:v>冲突/缺口描述</x:v>
      </x:c>
      <x:c r="D4" s="14" t="str">
        <x:v>来源A</x:v>
      </x:c>
      <x:c r="E4" s="14" t="str">
        <x:v>来源B</x:v>
      </x:c>
      <x:c r="F4" s="14" t="str">
        <x:v>严重程度</x:v>
      </x:c>
      <x:c r="G4" s="14" t="str">
        <x:v>处理状态</x:v>
      </x:c>
      <x:c r="H4" s="14" t="str">
        <x:v>负责人</x:v>
      </x:c>
      <x:c r="I4" s="14" t="str">
        <x:v>复核备注</x:v>
      </x:c>
    </x:row>
    <x:row r="5">
      <x:c r="A5" s="28" t="str">
        <x:v>DEMO-I01</x:v>
      </x:c>
      <x:c r="B5" s="34" t="str">
        <x:v>DEMO-002</x:v>
      </x:c>
      <x:c r="C5" s="34" t="str">
        <x:v>证据状态为待核，来源凭证尚未完成核对</x:v>
      </x:c>
      <x:c r="D5" s="34" t="str">
        <x:v>演示来源-第2页</x:v>
      </x:c>
      <x:c r="E5" s="34" t="str">
        <x:v>待补凭证</x:v>
      </x:c>
      <x:c r="F5" s="34" t="str">
        <x:v>中</x:v>
      </x:c>
      <x:c r="G5" s="34" t="str">
        <x:v>待处理</x:v>
      </x:c>
      <x:c r="H5" s="34" t="str"/>
      <x:c r="I5" s="29" t="str">
        <x:v>演示数据：删除后录入真实事项</x:v>
      </x:c>
    </x:row>
    <x:row r="6">
      <x:c r="A6" s="30"/>
      <x:c r="B6" s="36"/>
      <x:c r="C6" s="36"/>
      <x:c r="D6" s="36"/>
      <x:c r="E6" s="36"/>
      <x:c r="F6" s="36"/>
      <x:c r="G6" s="36"/>
      <x:c r="H6" s="36"/>
      <x:c r="I6" s="31"/>
    </x:row>
    <x:row r="7">
      <x:c r="A7" s="30"/>
      <x:c r="B7" s="36"/>
      <x:c r="C7" s="36"/>
      <x:c r="D7" s="36"/>
      <x:c r="E7" s="36"/>
      <x:c r="F7" s="36"/>
      <x:c r="G7" s="36"/>
      <x:c r="H7" s="36"/>
      <x:c r="I7" s="31"/>
    </x:row>
    <x:row r="8">
      <x:c r="A8" s="30"/>
      <x:c r="B8" s="36"/>
      <x:c r="C8" s="36"/>
      <x:c r="D8" s="36"/>
      <x:c r="E8" s="36"/>
      <x:c r="F8" s="36"/>
      <x:c r="G8" s="36"/>
      <x:c r="H8" s="36"/>
      <x:c r="I8" s="31"/>
    </x:row>
    <x:row r="9">
      <x:c r="A9" s="30"/>
      <x:c r="B9" s="36"/>
      <x:c r="C9" s="36"/>
      <x:c r="D9" s="36"/>
      <x:c r="E9" s="36"/>
      <x:c r="F9" s="36"/>
      <x:c r="G9" s="36"/>
      <x:c r="H9" s="36"/>
      <x:c r="I9" s="31"/>
    </x:row>
    <x:row r="10">
      <x:c r="A10" s="30"/>
      <x:c r="B10" s="36"/>
      <x:c r="C10" s="36"/>
      <x:c r="D10" s="36"/>
      <x:c r="E10" s="36"/>
      <x:c r="F10" s="36"/>
      <x:c r="G10" s="36"/>
      <x:c r="H10" s="36"/>
      <x:c r="I10" s="31"/>
    </x:row>
    <x:row r="11">
      <x:c r="A11" s="30"/>
      <x:c r="B11" s="36"/>
      <x:c r="C11" s="36"/>
      <x:c r="D11" s="36"/>
      <x:c r="E11" s="36"/>
      <x:c r="F11" s="36"/>
      <x:c r="G11" s="36"/>
      <x:c r="H11" s="36"/>
      <x:c r="I11" s="31"/>
    </x:row>
    <x:row r="12">
      <x:c r="A12" s="30"/>
      <x:c r="B12" s="36"/>
      <x:c r="C12" s="36"/>
      <x:c r="D12" s="36"/>
      <x:c r="E12" s="36"/>
      <x:c r="F12" s="36"/>
      <x:c r="G12" s="36"/>
      <x:c r="H12" s="36"/>
      <x:c r="I12" s="31"/>
    </x:row>
    <x:row r="13">
      <x:c r="A13" s="30"/>
      <x:c r="B13" s="36"/>
      <x:c r="C13" s="36"/>
      <x:c r="D13" s="36"/>
      <x:c r="E13" s="36"/>
      <x:c r="F13" s="36"/>
      <x:c r="G13" s="36"/>
      <x:c r="H13" s="36"/>
      <x:c r="I13" s="31"/>
    </x:row>
    <x:row r="14">
      <x:c r="A14" s="30"/>
      <x:c r="B14" s="36"/>
      <x:c r="C14" s="36"/>
      <x:c r="D14" s="36"/>
      <x:c r="E14" s="36"/>
      <x:c r="F14" s="36"/>
      <x:c r="G14" s="36"/>
      <x:c r="H14" s="36"/>
      <x:c r="I14" s="31"/>
    </x:row>
    <x:row r="15">
      <x:c r="A15" s="32"/>
      <x:c r="B15" s="47"/>
      <x:c r="C15" s="47"/>
      <x:c r="D15" s="47"/>
      <x:c r="E15" s="47"/>
      <x:c r="F15" s="47"/>
      <x:c r="G15" s="47"/>
      <x:c r="H15" s="47"/>
      <x:c r="I15" s="33"/>
    </x:row>
  </x:sheetData>
  <x:mergeCells>
    <x:mergeCell ref="A1:I1"/>
    <x:mergeCell ref="A2:I2"/>
  </x:mergeCells>
  <x:conditionalFormatting sqref="G5:G15">
    <x:cfRule type="containsText" dxfId="7" priority="1" operator="containsText" text="待处理"/>
    <x:cfRule type="containsText" dxfId="8" priority="2" operator="containsText" text="处理中"/>
  </x:conditionalFormatting>
  <x:dataValidations count="2">
    <x:dataValidation type="list" sqref="F5:F15">
      <x:formula1>"高,中,低"</x:formula1>
    </x:dataValidation>
    <x:dataValidation type="list" sqref="G5:G15">
      <x:formula1>"待处理,处理中,已解决,不适用"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30" hidden="0" customWidth="1"/>
    <x:col min="5" max="5" width="24" hidden="0" customWidth="1"/>
  </x:cols>
  <x:sheetData>
    <x:row r="1" ht="30" customHeight="1">
      <x:c r="A1" s="4" t="str">
        <x:v>质量门｜交付前核验</x:v>
      </x:c>
    </x:row>
    <x:row r="2" ht="32" customHeight="1">
      <x:c r="A2" s="8" t="str">
        <x:v>质量门只反映工作簿内可见状态；‘可进入人工复核’不等于已经完成法律判断或可以直接对外使用。</x:v>
      </x:c>
    </x:row>
    <x:row r="4" ht="28" customHeight="1">
      <x:c r="A4" s="14" t="str">
        <x:v>检查项</x:v>
      </x:c>
      <x:c r="B4" s="14" t="str">
        <x:v>检查方式</x:v>
      </x:c>
      <x:c r="C4" s="14" t="str">
        <x:v>结果</x:v>
      </x:c>
      <x:c r="D4" s="14" t="str">
        <x:v>阻断条件</x:v>
      </x:c>
      <x:c r="E4" s="14" t="str">
        <x:v>人工备注</x:v>
      </x:c>
    </x:row>
    <x:row r="5">
      <x:c r="A5" s="28" t="str">
        <x:v>原始记录是否有来源定位</x:v>
      </x:c>
      <x:c r="B5" s="34" t="str">
        <x:v>检查原始记录_输入 B 列是否为空</x:v>
      </x:c>
      <x:c r="C5" s="34" t="str">
        <x:f>IF(COUNTA('原始记录_输入'!A5:A15)=0,"需复核",IF(COUNTIFS('原始记录_输入'!A5:A15,"&lt;&gt;",'原始记录_输入'!B5:B15,"")&gt;0,"未通过","通过"))</x:f>
        <x:v>通过</x:v>
      </x:c>
      <x:c r="D5" s="34" t="str">
        <x:v>任一有效记录缺来源定位</x:v>
      </x:c>
      <x:c r="E5" s="29" t="str"/>
    </x:row>
    <x:row r="6">
      <x:c r="A6" s="30" t="str">
        <x:v>金额复算公式是否完整</x:v>
      </x:c>
      <x:c r="B6" s="36" t="str">
        <x:v>检查每个有效记录是否有复算金额</x:v>
      </x:c>
      <x:c r="C6" s="36" t="str">
        <x:f>IF(COUNTA('原始记录_输入'!A5:A15)=0,"需复核",IF(COUNTIFS('原始记录_输入'!A5:A15,"&lt;&gt;",'金额核验_逐项复算'!F5:F15,"")&gt;0,"未通过","通过"))</x:f>
        <x:v>通过</x:v>
      </x:c>
      <x:c r="D6" s="36" t="str">
        <x:v>任一有效记录缺复算结果</x:v>
      </x:c>
      <x:c r="E6" s="31" t="str"/>
    </x:row>
    <x:row r="7">
      <x:c r="A7" s="30" t="str">
        <x:v>金额差异是否全部标记</x:v>
      </x:c>
      <x:c r="B7" s="36" t="str">
        <x:v>检查金额核验_逐项复算 H 列</x:v>
      </x:c>
      <x:c r="C7" s="36" t="str">
        <x:f>IF(COUNTIF('金额核验_逐项复算'!H5:H15,"不一致")+COUNTIF('金额核验_逐项复算'!H5:H15,"缺原始金额")&gt;0,"未通过","通过")</x:f>
        <x:v>通过</x:v>
      </x:c>
      <x:c r="D7" s="36" t="str">
        <x:v>存在不一致或缺原始金额</x:v>
      </x:c>
      <x:c r="E7" s="31" t="str"/>
    </x:row>
    <x:row r="8">
      <x:c r="A8" s="30" t="str">
        <x:v>证据状态是否全部已核</x:v>
      </x:c>
      <x:c r="B8" s="36" t="str">
        <x:v>检查原始记录_输入 L 列</x:v>
      </x:c>
      <x:c r="C8" s="36" t="str">
        <x:f>IF(COUNTA('原始记录_输入'!A5:A15)=0,"需复核",IF(COUNTIFS('原始记录_输入'!A5:A15,"&lt;&gt;",'原始记录_输入'!L5:L15,"&lt;&gt;已核")&gt;0,"需复核","通过"))</x:f>
        <x:v>需复核</x:v>
      </x:c>
      <x:c r="D8" s="36" t="str">
        <x:v>存在待核或冲突证据</x:v>
      </x:c>
      <x:c r="E8" s="31" t="str"/>
    </x:row>
    <x:row r="9">
      <x:c r="A9" s="30" t="str">
        <x:v>冲突/缺口是否已处理</x:v>
      </x:c>
      <x:c r="B9" s="36" t="str">
        <x:v>检查冲突与缺口 G 列是否仍有待处理</x:v>
      </x:c>
      <x:c r="C9" s="36" t="str">
        <x:f>IF(COUNTIF('冲突与缺口'!G5:G15,"待处理")+COUNTIF('冲突与缺口'!G5:G15,"处理中")&gt;0,"未通过","通过")</x:f>
        <x:v>未通过</x:v>
      </x:c>
      <x:c r="D9" s="36" t="str">
        <x:v>存在待处理或处理中事项</x:v>
      </x:c>
      <x:c r="E9" s="31" t="str"/>
    </x:row>
    <x:row r="10">
      <x:c r="A10" s="30" t="str">
        <x:v>期限依据是否明确</x:v>
      </x:c>
      <x:c r="B10" s="36" t="str">
        <x:v>人工确认日期来源与口径</x:v>
      </x:c>
      <x:c r="C10" s="36" t="str">
        <x:v>需人工确认</x:v>
      </x:c>
      <x:c r="D10" s="36" t="str">
        <x:v>日期来源或计算口径不清</x:v>
      </x:c>
      <x:c r="E10" s="31" t="str"/>
    </x:row>
    <x:row r="11">
      <x:c r="A11" s="32" t="str">
        <x:v>对外输出是否另行授权</x:v>
      </x:c>
      <x:c r="B11" s="47" t="str">
        <x:v>人工确认交付对象、范围与授权</x:v>
      </x:c>
      <x:c r="C11" s="47" t="str">
        <x:v>需人工确认</x:v>
      </x:c>
      <x:c r="D11" s="47" t="str">
        <x:v>未完成单独授权确认</x:v>
      </x:c>
      <x:c r="E11" s="33" t="str"/>
    </x:row>
    <x:row r="13">
      <x:c r="A13" s="65" t="str">
        <x:v>总体状态</x:v>
      </x:c>
    </x:row>
    <x:row r="14" ht="28" customHeight="1">
      <x:c r="A14" s="69" t="str">
        <x:f>IF(COUNTIF(C5:C11,"未通过")&gt;0,"暂停交付",IF(COUNTIF(C5:C11,"需复核")&gt;0,"需复核","可进入人工复核"))</x:f>
        <x:v>暂停交付</x:v>
      </x:c>
    </x:row>
  </x:sheetData>
  <x:mergeCells>
    <x:mergeCell ref="A1:E1"/>
    <x:mergeCell ref="A2:E2"/>
    <x:mergeCell ref="A13:D13"/>
    <x:mergeCell ref="A14:D14"/>
  </x:mergeCells>
  <x:conditionalFormatting sqref="C5:C11">
    <x:cfRule type="containsText" dxfId="9" priority="1" operator="containsText" text="通过"/>
    <x:cfRule type="containsText" dxfId="10" priority="2" operator="containsText" text="需复核"/>
    <x:cfRule type="containsText" dxfId="11" priority="3" operator="containsText" text="未通过"/>
  </x:conditionalFormatting>
  <x:pageMargins left="0.7" right="0.7" top="0.75" bottom="0.75" header="0.3" footer="0.3"/>
</x:worksheet>
</file>